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/>
  <mc:AlternateContent xmlns:mc="http://schemas.openxmlformats.org/markup-compatibility/2006">
    <mc:Choice Requires="x15">
      <x15ac:absPath xmlns:x15ac="http://schemas.microsoft.com/office/spreadsheetml/2010/11/ac" url="/Users/alexeyrusinov/Desktop/Бенчмарк/"/>
    </mc:Choice>
  </mc:AlternateContent>
  <xr:revisionPtr revIDLastSave="0" documentId="13_ncr:1_{2E2F2667-5858-6B49-BEE3-7B62A4A7E558}" xr6:coauthVersionLast="47" xr6:coauthVersionMax="47" xr10:uidLastSave="{00000000-0000-0000-0000-000000000000}"/>
  <bookViews>
    <workbookView xWindow="0" yWindow="740" windowWidth="21420" windowHeight="14540" tabRatio="500" activeTab="4" xr2:uid="{00000000-000D-0000-FFFF-FFFF00000000}"/>
  </bookViews>
  <sheets>
    <sheet name="Данные" sheetId="1" r:id="rId1"/>
    <sheet name="По сложности" sheetId="2" r:id="rId2"/>
    <sheet name="По сфере права" sheetId="3" r:id="rId3"/>
    <sheet name="По сценарию" sheetId="4" r:id="rId4"/>
    <sheet name="Сводка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8" i="5" l="1"/>
  <c r="E8" i="5"/>
  <c r="D8" i="5"/>
  <c r="C8" i="5"/>
  <c r="B8" i="5"/>
  <c r="F7" i="5"/>
  <c r="E7" i="5"/>
  <c r="D7" i="5"/>
  <c r="C7" i="5"/>
  <c r="B7" i="5"/>
  <c r="F6" i="5"/>
  <c r="E6" i="5"/>
  <c r="D6" i="5"/>
  <c r="C6" i="5"/>
  <c r="B6" i="5"/>
  <c r="F5" i="5"/>
  <c r="E5" i="5"/>
  <c r="D5" i="5"/>
  <c r="C5" i="5"/>
  <c r="B5" i="5"/>
  <c r="F4" i="5"/>
  <c r="E4" i="5"/>
  <c r="D4" i="5"/>
  <c r="C4" i="5"/>
  <c r="B4" i="5"/>
  <c r="C15" i="5" s="1"/>
  <c r="B16" i="4"/>
  <c r="B15" i="4"/>
  <c r="B14" i="4"/>
  <c r="B13" i="4"/>
  <c r="F9" i="4"/>
  <c r="E9" i="4"/>
  <c r="D9" i="4"/>
  <c r="C9" i="4"/>
  <c r="B9" i="4"/>
  <c r="F8" i="4"/>
  <c r="E8" i="4"/>
  <c r="D8" i="4"/>
  <c r="C8" i="4"/>
  <c r="B8" i="4"/>
  <c r="F7" i="4"/>
  <c r="E7" i="4"/>
  <c r="D7" i="4"/>
  <c r="C7" i="4"/>
  <c r="B7" i="4"/>
  <c r="C22" i="4" s="1"/>
  <c r="F6" i="4"/>
  <c r="E6" i="4"/>
  <c r="D6" i="4"/>
  <c r="C6" i="4"/>
  <c r="B6" i="4"/>
  <c r="F5" i="4"/>
  <c r="E5" i="4"/>
  <c r="D5" i="4"/>
  <c r="C5" i="4"/>
  <c r="B5" i="4"/>
  <c r="B20" i="3"/>
  <c r="B19" i="3"/>
  <c r="B18" i="3"/>
  <c r="B17" i="3"/>
  <c r="B16" i="3"/>
  <c r="B15" i="3"/>
  <c r="F11" i="3"/>
  <c r="E11" i="3"/>
  <c r="D11" i="3"/>
  <c r="C11" i="3"/>
  <c r="B11" i="3"/>
  <c r="F10" i="3"/>
  <c r="E10" i="3"/>
  <c r="D10" i="3"/>
  <c r="C10" i="3"/>
  <c r="B10" i="3"/>
  <c r="F9" i="3"/>
  <c r="E9" i="3"/>
  <c r="D9" i="3"/>
  <c r="C9" i="3"/>
  <c r="B9" i="3"/>
  <c r="C28" i="3" s="1"/>
  <c r="F8" i="3"/>
  <c r="E8" i="3"/>
  <c r="D8" i="3"/>
  <c r="C8" i="3"/>
  <c r="B8" i="3"/>
  <c r="F7" i="3"/>
  <c r="E7" i="3"/>
  <c r="D7" i="3"/>
  <c r="C26" i="3" s="1"/>
  <c r="C7" i="3"/>
  <c r="B7" i="3"/>
  <c r="F6" i="3"/>
  <c r="E6" i="3"/>
  <c r="D6" i="3"/>
  <c r="C6" i="3"/>
  <c r="B6" i="3"/>
  <c r="C25" i="3" s="1"/>
  <c r="F5" i="3"/>
  <c r="E5" i="3"/>
  <c r="D5" i="3"/>
  <c r="C5" i="3"/>
  <c r="B5" i="3"/>
  <c r="B14" i="2"/>
  <c r="B13" i="2"/>
  <c r="B12" i="2"/>
  <c r="F8" i="2"/>
  <c r="E8" i="2"/>
  <c r="D8" i="2"/>
  <c r="C8" i="2"/>
  <c r="B8" i="2"/>
  <c r="F7" i="2"/>
  <c r="E7" i="2"/>
  <c r="D7" i="2"/>
  <c r="C7" i="2"/>
  <c r="B7" i="2"/>
  <c r="F6" i="2"/>
  <c r="E6" i="2"/>
  <c r="D6" i="2"/>
  <c r="C6" i="2"/>
  <c r="B6" i="2"/>
  <c r="B19" i="2" s="1"/>
  <c r="F5" i="2"/>
  <c r="E5" i="2"/>
  <c r="D5" i="2"/>
  <c r="C5" i="2"/>
  <c r="B5" i="2"/>
  <c r="C27" i="3" l="1"/>
  <c r="C24" i="3"/>
  <c r="C23" i="4"/>
  <c r="C18" i="2"/>
  <c r="B29" i="3"/>
  <c r="C20" i="4"/>
  <c r="C20" i="2"/>
  <c r="C29" i="3"/>
  <c r="B21" i="4"/>
  <c r="C19" i="2"/>
  <c r="B26" i="3"/>
  <c r="C21" i="4"/>
  <c r="B12" i="5"/>
  <c r="B20" i="2"/>
  <c r="B22" i="4"/>
  <c r="C12" i="5"/>
  <c r="B27" i="3"/>
  <c r="B13" i="5"/>
  <c r="B23" i="4"/>
  <c r="C13" i="5"/>
  <c r="B24" i="3"/>
  <c r="B28" i="3"/>
  <c r="B14" i="5"/>
  <c r="B18" i="2"/>
  <c r="B20" i="4"/>
  <c r="C14" i="5"/>
  <c r="B25" i="3"/>
  <c r="B11" i="5"/>
  <c r="B15" i="5"/>
  <c r="C11" i="5"/>
</calcChain>
</file>

<file path=xl/sharedStrings.xml><?xml version="1.0" encoding="utf-8"?>
<sst xmlns="http://schemas.openxmlformats.org/spreadsheetml/2006/main" count="203" uniqueCount="51">
  <si>
    <t>№</t>
  </si>
  <si>
    <t>Сценарий</t>
  </si>
  <si>
    <t>Сложность</t>
  </si>
  <si>
    <t>Сфера права</t>
  </si>
  <si>
    <t>NeuroLawyer</t>
  </si>
  <si>
    <t>GPT-4o</t>
  </si>
  <si>
    <t>Claude 3.5</t>
  </si>
  <si>
    <t>GigaChat</t>
  </si>
  <si>
    <t>ConsLegal</t>
  </si>
  <si>
    <t>NeuroLawyer галлюц.</t>
  </si>
  <si>
    <t>GPT-4o галлюц.</t>
  </si>
  <si>
    <t>Claude 3.5 галлюц.</t>
  </si>
  <si>
    <t>GigaChat галлюц.</t>
  </si>
  <si>
    <t>ConsLegal галлюц.</t>
  </si>
  <si>
    <t>Анализ и правка договора</t>
  </si>
  <si>
    <t>Простая</t>
  </si>
  <si>
    <t>Обязательственное</t>
  </si>
  <si>
    <t>ЗПП</t>
  </si>
  <si>
    <t>Средняя</t>
  </si>
  <si>
    <t>Трудовое</t>
  </si>
  <si>
    <t>Рекламное</t>
  </si>
  <si>
    <t>Информационное</t>
  </si>
  <si>
    <t>ИС</t>
  </si>
  <si>
    <t>Сложная</t>
  </si>
  <si>
    <t>Процессуальный документ</t>
  </si>
  <si>
    <t>Подбор судебной практики</t>
  </si>
  <si>
    <t>Консультация по кейсу</t>
  </si>
  <si>
    <t>Анализ по уровню сложности</t>
  </si>
  <si>
    <t>Средний балл (total_score)</t>
  </si>
  <si>
    <t>Категория</t>
  </si>
  <si>
    <t>ИТОГО (среднее)</t>
  </si>
  <si>
    <t>Количество задач</t>
  </si>
  <si>
    <t>Кол-во</t>
  </si>
  <si>
    <t>Лучшая модель по категории</t>
  </si>
  <si>
    <t>Лучшая модель</t>
  </si>
  <si>
    <t>Балл</t>
  </si>
  <si>
    <t>Анализ по сфере права</t>
  </si>
  <si>
    <t>Анализ по сценарию</t>
  </si>
  <si>
    <t>СВОДНАЯ ТАБЛИЦА БЕНЧМАРКА</t>
  </si>
  <si>
    <t>Модель</t>
  </si>
  <si>
    <t>Средний балл</t>
  </si>
  <si>
    <t>Макс. балл</t>
  </si>
  <si>
    <t>Мин. балл</t>
  </si>
  <si>
    <t>Кол-во лучших</t>
  </si>
  <si>
    <t>Кол-во галлюц.</t>
  </si>
  <si>
    <t>Рейтинг моделей (по среднему баллу):</t>
  </si>
  <si>
    <t>1 место</t>
  </si>
  <si>
    <t>2 место</t>
  </si>
  <si>
    <t>3 место</t>
  </si>
  <si>
    <t>4 место</t>
  </si>
  <si>
    <t>5 место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</si>
</sst>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4"/>
      <color rgb="FF2F5496"/>
      <name val="Arial"/>
      <family val="2"/>
    </font>
    <font>
      <b/>
      <sz val="12"/>
      <color rgb="FF2F5496"/>
      <name val="Arial"/>
      <family val="2"/>
    </font>
    <font>
      <b/>
      <sz val="10"/>
      <name val="Arial"/>
      <family val="2"/>
    </font>
    <font>
      <b/>
      <sz val="10"/>
      <color rgb="FFC00000"/>
      <name val="Arial"/>
      <family val="2"/>
    </font>
    <font>
      <b/>
      <sz val="16"/>
      <color rgb="FF2F5496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2F5496"/>
        <bgColor rgb="FF4472C4"/>
      </patternFill>
    </fill>
    <fill>
      <patternFill patternType="solid">
        <fgColor rgb="FFD6E4F0"/>
        <bgColor rgb="FFC6EFCE"/>
      </patternFill>
    </fill>
    <fill>
      <patternFill patternType="solid">
        <fgColor rgb="FF548235"/>
        <bgColor rgb="FF339966"/>
      </patternFill>
    </fill>
    <fill>
      <patternFill patternType="solid">
        <fgColor rgb="FFC6EFCE"/>
        <bgColor rgb="FFD6E4F0"/>
      </patternFill>
    </fill>
    <fill>
      <patternFill patternType="solid">
        <fgColor rgb="FFFFD700"/>
        <bgColor rgb="FFFFFF00"/>
      </patternFill>
    </fill>
    <fill>
      <patternFill patternType="solid">
        <fgColor rgb="FFC0C0C0"/>
        <bgColor rgb="FF99CCFF"/>
      </patternFill>
    </fill>
    <fill>
      <patternFill patternType="solid">
        <fgColor rgb="FFCD7F32"/>
        <bgColor rgb="FFBF8F00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/>
    <xf numFmtId="0" fontId="2" fillId="0" borderId="1" xfId="0" applyFont="1" applyBorder="1"/>
    <xf numFmtId="2" fontId="2" fillId="0" borderId="1" xfId="0" applyNumberFormat="1" applyFont="1" applyBorder="1"/>
    <xf numFmtId="0" fontId="0" fillId="0" borderId="1" xfId="0" applyBorder="1"/>
    <xf numFmtId="0" fontId="5" fillId="0" borderId="1" xfId="0" applyFont="1" applyBorder="1"/>
    <xf numFmtId="2" fontId="2" fillId="0" borderId="1" xfId="0" applyNumberFormat="1" applyFont="1" applyBorder="1" applyAlignment="1">
      <alignment horizontal="center"/>
    </xf>
    <xf numFmtId="0" fontId="6" fillId="3" borderId="1" xfId="0" applyFont="1" applyFill="1" applyBorder="1"/>
    <xf numFmtId="2" fontId="6" fillId="3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2" fontId="5" fillId="5" borderId="1" xfId="0" applyNumberFormat="1" applyFon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3" fillId="0" borderId="0" xfId="0" applyFont="1"/>
    <xf numFmtId="0" fontId="4" fillId="0" borderId="0" xfId="0" applyFont="1"/>
    <xf numFmtId="0" fontId="7" fillId="0" borderId="0" xfId="0" applyFont="1"/>
    <xf numFmtId="0" fontId="0" fillId="9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1" borderId="1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D700"/>
      <rgbColor rgb="FFBF8F00"/>
      <rgbColor rgb="FFCD7F32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F5496"/>
  </sheetPr>
  <dimension ref="A1:N29"/>
  <sheetViews>
    <sheetView topLeftCell="D1" zoomScaleNormal="100" workbookViewId="0">
      <selection activeCell="E15" sqref="E15"/>
    </sheetView>
  </sheetViews>
  <sheetFormatPr baseColWidth="10" defaultColWidth="8.6640625" defaultRowHeight="15" x14ac:dyDescent="0.2"/>
  <cols>
    <col min="1" max="1" width="6" customWidth="1"/>
    <col min="2" max="2" width="28" customWidth="1"/>
    <col min="3" max="3" width="12" customWidth="1"/>
    <col min="4" max="4" width="20" customWidth="1"/>
    <col min="5" max="9" width="14" customWidth="1"/>
    <col min="10" max="10" width="21.6640625" customWidth="1"/>
    <col min="11" max="11" width="16.5" customWidth="1"/>
    <col min="12" max="12" width="13.33203125" customWidth="1"/>
    <col min="13" max="13" width="14.6640625" customWidth="1"/>
    <col min="14" max="14" width="16.1640625" customWidth="1"/>
  </cols>
  <sheetData>
    <row r="1" spans="1:14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">
      <c r="A2" s="3">
        <v>1.1000000000000001</v>
      </c>
      <c r="B2" s="3" t="s">
        <v>14</v>
      </c>
      <c r="C2" s="3" t="s">
        <v>15</v>
      </c>
      <c r="D2" s="3" t="s">
        <v>16</v>
      </c>
      <c r="E2" s="4">
        <v>1.5</v>
      </c>
      <c r="F2" s="4">
        <v>2</v>
      </c>
      <c r="G2" s="4">
        <v>2</v>
      </c>
      <c r="H2" s="4">
        <v>1.5</v>
      </c>
      <c r="I2" s="4">
        <v>2</v>
      </c>
      <c r="J2" s="5">
        <v>0</v>
      </c>
      <c r="K2" s="5">
        <v>0</v>
      </c>
      <c r="L2" s="5">
        <v>0</v>
      </c>
      <c r="M2" s="5">
        <v>0</v>
      </c>
      <c r="N2" s="5">
        <v>0</v>
      </c>
    </row>
    <row r="3" spans="1:14" x14ac:dyDescent="0.2">
      <c r="A3" s="3">
        <v>1.2</v>
      </c>
      <c r="B3" s="3" t="s">
        <v>14</v>
      </c>
      <c r="C3" s="3" t="s">
        <v>15</v>
      </c>
      <c r="D3" s="3" t="s">
        <v>17</v>
      </c>
      <c r="E3" s="4">
        <v>1.5</v>
      </c>
      <c r="F3" s="4">
        <v>2</v>
      </c>
      <c r="G3" s="4">
        <v>2</v>
      </c>
      <c r="H3" s="4">
        <v>2</v>
      </c>
      <c r="I3" s="4">
        <v>2</v>
      </c>
      <c r="J3" s="5">
        <v>0</v>
      </c>
      <c r="K3" s="5">
        <v>0</v>
      </c>
      <c r="L3" s="5">
        <v>0</v>
      </c>
      <c r="M3" s="5">
        <v>0</v>
      </c>
      <c r="N3" s="5">
        <v>0</v>
      </c>
    </row>
    <row r="4" spans="1:14" x14ac:dyDescent="0.2">
      <c r="A4" s="3">
        <v>1.3</v>
      </c>
      <c r="B4" s="3" t="s">
        <v>14</v>
      </c>
      <c r="C4" s="3" t="s">
        <v>15</v>
      </c>
      <c r="D4" s="3" t="s">
        <v>16</v>
      </c>
      <c r="E4" s="4">
        <v>1.5</v>
      </c>
      <c r="F4" s="4">
        <v>2</v>
      </c>
      <c r="G4" s="4">
        <v>2</v>
      </c>
      <c r="H4" s="4">
        <v>2</v>
      </c>
      <c r="I4" s="4">
        <v>2</v>
      </c>
      <c r="J4" s="5">
        <v>0</v>
      </c>
      <c r="K4" s="5">
        <v>0</v>
      </c>
      <c r="L4" s="5">
        <v>0</v>
      </c>
      <c r="M4" s="5">
        <v>0</v>
      </c>
      <c r="N4" s="5">
        <v>0</v>
      </c>
    </row>
    <row r="5" spans="1:14" x14ac:dyDescent="0.2">
      <c r="A5" s="3">
        <v>1.4</v>
      </c>
      <c r="B5" s="3" t="s">
        <v>14</v>
      </c>
      <c r="C5" s="3" t="s">
        <v>18</v>
      </c>
      <c r="D5" s="3" t="s">
        <v>19</v>
      </c>
      <c r="E5" s="4">
        <v>2.25</v>
      </c>
      <c r="F5" s="4">
        <v>2.25</v>
      </c>
      <c r="G5" s="4">
        <v>3</v>
      </c>
      <c r="H5" s="4">
        <v>2.25</v>
      </c>
      <c r="I5" s="4">
        <v>3</v>
      </c>
      <c r="J5" s="5">
        <v>0</v>
      </c>
      <c r="K5" s="5">
        <v>0</v>
      </c>
      <c r="L5" s="5">
        <v>0</v>
      </c>
      <c r="M5" s="5">
        <v>0</v>
      </c>
      <c r="N5" s="5">
        <v>0</v>
      </c>
    </row>
    <row r="6" spans="1:14" x14ac:dyDescent="0.2">
      <c r="A6" s="3">
        <v>1.5</v>
      </c>
      <c r="B6" s="3" t="s">
        <v>14</v>
      </c>
      <c r="C6" s="3" t="s">
        <v>18</v>
      </c>
      <c r="D6" s="3" t="s">
        <v>20</v>
      </c>
      <c r="E6" s="4">
        <v>3</v>
      </c>
      <c r="F6" s="4">
        <v>3</v>
      </c>
      <c r="G6" s="4">
        <v>3</v>
      </c>
      <c r="H6" s="4">
        <v>1.5</v>
      </c>
      <c r="I6" s="4">
        <v>2.25</v>
      </c>
      <c r="J6" s="5">
        <v>0</v>
      </c>
      <c r="K6" s="5">
        <v>0</v>
      </c>
      <c r="L6" s="5">
        <v>0</v>
      </c>
      <c r="M6" s="5">
        <v>0</v>
      </c>
      <c r="N6" s="5">
        <v>0</v>
      </c>
    </row>
    <row r="7" spans="1:14" x14ac:dyDescent="0.2">
      <c r="A7" s="3">
        <v>1.6</v>
      </c>
      <c r="B7" s="3" t="s">
        <v>14</v>
      </c>
      <c r="C7" s="3" t="s">
        <v>18</v>
      </c>
      <c r="D7" s="3" t="s">
        <v>21</v>
      </c>
      <c r="E7" s="4">
        <v>2.25</v>
      </c>
      <c r="F7" s="4">
        <v>3</v>
      </c>
      <c r="G7" s="4">
        <v>3</v>
      </c>
      <c r="H7" s="4">
        <v>2.25</v>
      </c>
      <c r="I7" s="4">
        <v>1.5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 x14ac:dyDescent="0.2">
      <c r="A8" s="3">
        <v>1.7</v>
      </c>
      <c r="B8" s="3" t="s">
        <v>14</v>
      </c>
      <c r="C8" s="3" t="s">
        <v>18</v>
      </c>
      <c r="D8" s="3" t="s">
        <v>22</v>
      </c>
      <c r="E8" s="4">
        <v>1.5</v>
      </c>
      <c r="F8" s="4">
        <v>3</v>
      </c>
      <c r="G8" s="4">
        <v>0</v>
      </c>
      <c r="H8" s="4">
        <v>-1.5</v>
      </c>
      <c r="I8" s="4">
        <v>0</v>
      </c>
      <c r="J8" s="5">
        <v>0</v>
      </c>
      <c r="K8" s="5">
        <v>0</v>
      </c>
      <c r="L8" s="5">
        <v>0</v>
      </c>
      <c r="M8" s="5">
        <v>1</v>
      </c>
      <c r="N8" s="5">
        <v>0</v>
      </c>
    </row>
    <row r="9" spans="1:14" x14ac:dyDescent="0.2">
      <c r="A9" s="3">
        <v>1.8</v>
      </c>
      <c r="B9" s="3" t="s">
        <v>14</v>
      </c>
      <c r="C9" s="3" t="s">
        <v>23</v>
      </c>
      <c r="D9" s="3" t="s">
        <v>16</v>
      </c>
      <c r="E9" s="4">
        <v>2</v>
      </c>
      <c r="F9" s="4">
        <v>4</v>
      </c>
      <c r="G9" s="4">
        <v>4</v>
      </c>
      <c r="H9" s="4">
        <v>4</v>
      </c>
      <c r="I9" s="4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</row>
    <row r="10" spans="1:14" x14ac:dyDescent="0.2">
      <c r="A10" s="3">
        <v>1.9</v>
      </c>
      <c r="B10" s="3" t="s">
        <v>14</v>
      </c>
      <c r="C10" s="3" t="s">
        <v>23</v>
      </c>
      <c r="D10" s="3" t="s">
        <v>20</v>
      </c>
      <c r="E10" s="4">
        <v>-2</v>
      </c>
      <c r="F10" s="4">
        <v>4</v>
      </c>
      <c r="G10" s="4">
        <v>4</v>
      </c>
      <c r="H10" s="4">
        <v>0</v>
      </c>
      <c r="I10" s="4">
        <v>0</v>
      </c>
      <c r="J10" s="5">
        <v>1</v>
      </c>
      <c r="K10" s="5">
        <v>0</v>
      </c>
      <c r="L10" s="5">
        <v>0</v>
      </c>
      <c r="M10" s="5">
        <v>0</v>
      </c>
      <c r="N10" s="5">
        <v>0</v>
      </c>
    </row>
    <row r="11" spans="1:14" x14ac:dyDescent="0.2">
      <c r="A11" s="3">
        <v>2.1</v>
      </c>
      <c r="B11" s="3" t="s">
        <v>24</v>
      </c>
      <c r="C11" s="3" t="s">
        <v>15</v>
      </c>
      <c r="D11" s="3" t="s">
        <v>19</v>
      </c>
      <c r="E11" s="4">
        <v>2</v>
      </c>
      <c r="F11" s="4">
        <v>2</v>
      </c>
      <c r="G11" s="4">
        <v>2</v>
      </c>
      <c r="H11" s="4">
        <v>1</v>
      </c>
      <c r="I11" s="4">
        <v>1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</row>
    <row r="12" spans="1:14" x14ac:dyDescent="0.2">
      <c r="A12" s="3">
        <v>2.2000000000000002</v>
      </c>
      <c r="B12" s="3" t="s">
        <v>24</v>
      </c>
      <c r="C12" s="3" t="s">
        <v>15</v>
      </c>
      <c r="D12" s="3" t="s">
        <v>16</v>
      </c>
      <c r="E12" s="4">
        <v>1.5</v>
      </c>
      <c r="F12" s="4">
        <v>2</v>
      </c>
      <c r="G12" s="4">
        <v>2</v>
      </c>
      <c r="H12" s="4">
        <v>2</v>
      </c>
      <c r="I12" s="4">
        <v>2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</row>
    <row r="13" spans="1:14" x14ac:dyDescent="0.2">
      <c r="A13" s="3">
        <v>2.2999999999999998</v>
      </c>
      <c r="B13" s="3" t="s">
        <v>24</v>
      </c>
      <c r="C13" s="3" t="s">
        <v>15</v>
      </c>
      <c r="D13" s="3" t="s">
        <v>20</v>
      </c>
      <c r="E13" s="4">
        <v>1</v>
      </c>
      <c r="F13" s="4">
        <v>2</v>
      </c>
      <c r="G13" s="4">
        <v>2</v>
      </c>
      <c r="H13" s="4">
        <v>-2</v>
      </c>
      <c r="I13" s="4">
        <v>2</v>
      </c>
      <c r="J13" s="5">
        <v>0</v>
      </c>
      <c r="K13" s="5">
        <v>0</v>
      </c>
      <c r="L13" s="5">
        <v>0</v>
      </c>
      <c r="M13" s="5">
        <v>1</v>
      </c>
      <c r="N13" s="5">
        <v>0</v>
      </c>
    </row>
    <row r="14" spans="1:14" x14ac:dyDescent="0.2">
      <c r="A14" s="3">
        <v>2.4</v>
      </c>
      <c r="B14" s="3" t="s">
        <v>24</v>
      </c>
      <c r="C14" s="3" t="s">
        <v>18</v>
      </c>
      <c r="D14" s="3" t="s">
        <v>19</v>
      </c>
      <c r="E14" s="4">
        <v>0.75</v>
      </c>
      <c r="F14" s="4">
        <v>-1.5</v>
      </c>
      <c r="G14" s="4">
        <v>3</v>
      </c>
      <c r="H14" s="4">
        <v>-3</v>
      </c>
      <c r="I14" s="4">
        <v>2.25</v>
      </c>
      <c r="J14" s="5">
        <v>0</v>
      </c>
      <c r="K14" s="5">
        <v>1</v>
      </c>
      <c r="L14" s="5">
        <v>0</v>
      </c>
      <c r="M14" s="5">
        <v>1</v>
      </c>
      <c r="N14" s="5">
        <v>0</v>
      </c>
    </row>
    <row r="15" spans="1:14" x14ac:dyDescent="0.2">
      <c r="A15" s="3">
        <v>2.5</v>
      </c>
      <c r="B15" s="3" t="s">
        <v>24</v>
      </c>
      <c r="C15" s="3" t="s">
        <v>18</v>
      </c>
      <c r="D15" s="3" t="s">
        <v>17</v>
      </c>
      <c r="E15" s="4">
        <v>3</v>
      </c>
      <c r="F15" s="4">
        <v>-2.25</v>
      </c>
      <c r="G15" s="4">
        <v>3</v>
      </c>
      <c r="H15" s="4">
        <v>-2.25</v>
      </c>
      <c r="I15" s="4">
        <v>-2.25</v>
      </c>
      <c r="J15" s="5">
        <v>0</v>
      </c>
      <c r="K15" s="5">
        <v>1</v>
      </c>
      <c r="L15" s="5">
        <v>0</v>
      </c>
      <c r="M15" s="5">
        <v>1</v>
      </c>
      <c r="N15" s="5">
        <v>1</v>
      </c>
    </row>
    <row r="16" spans="1:14" x14ac:dyDescent="0.2">
      <c r="A16" s="3">
        <v>2.6</v>
      </c>
      <c r="B16" s="3" t="s">
        <v>24</v>
      </c>
      <c r="C16" s="3" t="s">
        <v>18</v>
      </c>
      <c r="D16" s="3" t="s">
        <v>21</v>
      </c>
      <c r="E16" s="4">
        <v>0</v>
      </c>
      <c r="F16" s="4">
        <v>3</v>
      </c>
      <c r="G16" s="4">
        <v>3</v>
      </c>
      <c r="H16" s="4">
        <v>2.25</v>
      </c>
      <c r="I16" s="4">
        <v>-1.5</v>
      </c>
      <c r="J16" s="5">
        <v>0</v>
      </c>
      <c r="K16" s="5">
        <v>0</v>
      </c>
      <c r="L16" s="5">
        <v>0</v>
      </c>
      <c r="M16" s="5">
        <v>0</v>
      </c>
      <c r="N16" s="5">
        <v>1</v>
      </c>
    </row>
    <row r="17" spans="1:14" x14ac:dyDescent="0.2">
      <c r="A17" s="3">
        <v>2.7</v>
      </c>
      <c r="B17" s="3" t="s">
        <v>24</v>
      </c>
      <c r="C17" s="3" t="s">
        <v>18</v>
      </c>
      <c r="D17" s="3" t="s">
        <v>19</v>
      </c>
      <c r="E17" s="4">
        <v>0</v>
      </c>
      <c r="F17" s="4">
        <v>1.5</v>
      </c>
      <c r="G17" s="4">
        <v>3</v>
      </c>
      <c r="H17" s="4">
        <v>0.75</v>
      </c>
      <c r="I17" s="4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</row>
    <row r="18" spans="1:14" x14ac:dyDescent="0.2">
      <c r="A18" s="3">
        <v>2.8</v>
      </c>
      <c r="B18" s="3" t="s">
        <v>24</v>
      </c>
      <c r="C18" s="3" t="s">
        <v>23</v>
      </c>
      <c r="D18" s="3" t="s">
        <v>16</v>
      </c>
      <c r="E18" s="4">
        <v>0</v>
      </c>
      <c r="F18" s="4">
        <v>2</v>
      </c>
      <c r="G18" s="4">
        <v>4</v>
      </c>
      <c r="H18" s="4">
        <v>-4</v>
      </c>
      <c r="I18" s="4">
        <v>0</v>
      </c>
      <c r="J18" s="5">
        <v>0</v>
      </c>
      <c r="K18" s="5">
        <v>0</v>
      </c>
      <c r="L18" s="5">
        <v>0</v>
      </c>
      <c r="M18" s="5">
        <v>1</v>
      </c>
      <c r="N18" s="5">
        <v>0</v>
      </c>
    </row>
    <row r="19" spans="1:14" x14ac:dyDescent="0.2">
      <c r="A19" s="3">
        <v>3.1</v>
      </c>
      <c r="B19" s="3" t="s">
        <v>25</v>
      </c>
      <c r="C19" s="3" t="s">
        <v>15</v>
      </c>
      <c r="D19" s="3" t="s">
        <v>21</v>
      </c>
      <c r="E19" s="4">
        <v>2</v>
      </c>
      <c r="F19" s="4">
        <v>-1.5</v>
      </c>
      <c r="G19" s="4">
        <v>2</v>
      </c>
      <c r="H19" s="4">
        <v>2</v>
      </c>
      <c r="I19" s="4">
        <v>-2</v>
      </c>
      <c r="J19" s="5">
        <v>0</v>
      </c>
      <c r="K19" s="5">
        <v>1</v>
      </c>
      <c r="L19" s="5">
        <v>0</v>
      </c>
      <c r="M19" s="5">
        <v>0</v>
      </c>
      <c r="N19" s="5">
        <v>1</v>
      </c>
    </row>
    <row r="20" spans="1:14" x14ac:dyDescent="0.2">
      <c r="A20" s="3">
        <v>3.2</v>
      </c>
      <c r="B20" s="3" t="s">
        <v>25</v>
      </c>
      <c r="C20" s="3" t="s">
        <v>15</v>
      </c>
      <c r="D20" s="3" t="s">
        <v>16</v>
      </c>
      <c r="E20" s="4">
        <v>1.5</v>
      </c>
      <c r="F20" s="4">
        <v>2</v>
      </c>
      <c r="G20" s="4">
        <v>2</v>
      </c>
      <c r="H20" s="4">
        <v>2</v>
      </c>
      <c r="I20" s="4">
        <v>2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</row>
    <row r="21" spans="1:14" x14ac:dyDescent="0.2">
      <c r="A21" s="3">
        <v>3.3</v>
      </c>
      <c r="B21" s="3" t="s">
        <v>25</v>
      </c>
      <c r="C21" s="3" t="s">
        <v>15</v>
      </c>
      <c r="D21" s="3" t="s">
        <v>20</v>
      </c>
      <c r="E21" s="4">
        <v>1.5</v>
      </c>
      <c r="F21" s="4">
        <v>2</v>
      </c>
      <c r="G21" s="4">
        <v>2</v>
      </c>
      <c r="H21" s="4">
        <v>2</v>
      </c>
      <c r="I21" s="4">
        <v>2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</row>
    <row r="22" spans="1:14" x14ac:dyDescent="0.2">
      <c r="A22" s="3">
        <v>3.4</v>
      </c>
      <c r="B22" s="3" t="s">
        <v>25</v>
      </c>
      <c r="C22" s="3" t="s">
        <v>18</v>
      </c>
      <c r="D22" s="3" t="s">
        <v>19</v>
      </c>
      <c r="E22" s="4">
        <v>3</v>
      </c>
      <c r="F22" s="4">
        <v>3</v>
      </c>
      <c r="G22" s="4">
        <v>3</v>
      </c>
      <c r="H22" s="4">
        <v>1.5</v>
      </c>
      <c r="I22" s="4">
        <v>-0.75</v>
      </c>
      <c r="J22" s="5">
        <v>0</v>
      </c>
      <c r="K22" s="5">
        <v>0</v>
      </c>
      <c r="L22" s="5">
        <v>0</v>
      </c>
      <c r="M22" s="5">
        <v>0</v>
      </c>
      <c r="N22" s="5">
        <v>1</v>
      </c>
    </row>
    <row r="23" spans="1:14" x14ac:dyDescent="0.2">
      <c r="A23" s="3">
        <v>3.5</v>
      </c>
      <c r="B23" s="3" t="s">
        <v>25</v>
      </c>
      <c r="C23" s="3" t="s">
        <v>18</v>
      </c>
      <c r="D23" s="3" t="s">
        <v>20</v>
      </c>
      <c r="E23" s="4">
        <v>3</v>
      </c>
      <c r="F23" s="4">
        <v>0.75</v>
      </c>
      <c r="G23" s="4">
        <v>-1.5</v>
      </c>
      <c r="H23" s="4">
        <v>-3</v>
      </c>
      <c r="I23" s="4">
        <v>-3</v>
      </c>
      <c r="J23" s="5">
        <v>0</v>
      </c>
      <c r="K23" s="5">
        <v>0</v>
      </c>
      <c r="L23" s="5">
        <v>1</v>
      </c>
      <c r="M23" s="5">
        <v>1</v>
      </c>
      <c r="N23" s="5">
        <v>1</v>
      </c>
    </row>
    <row r="24" spans="1:14" x14ac:dyDescent="0.2">
      <c r="A24" s="3">
        <v>3.6</v>
      </c>
      <c r="B24" s="3" t="s">
        <v>25</v>
      </c>
      <c r="C24" s="3" t="s">
        <v>18</v>
      </c>
      <c r="D24" s="3" t="s">
        <v>17</v>
      </c>
      <c r="E24" s="4">
        <v>3</v>
      </c>
      <c r="F24" s="4">
        <v>3</v>
      </c>
      <c r="G24" s="4">
        <v>3</v>
      </c>
      <c r="H24" s="4">
        <v>3</v>
      </c>
      <c r="I24" s="4">
        <v>3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</row>
    <row r="25" spans="1:14" x14ac:dyDescent="0.2">
      <c r="A25" s="3">
        <v>3.7</v>
      </c>
      <c r="B25" s="3" t="s">
        <v>25</v>
      </c>
      <c r="C25" s="3" t="s">
        <v>18</v>
      </c>
      <c r="D25" s="3" t="s">
        <v>22</v>
      </c>
      <c r="E25" s="4">
        <v>3</v>
      </c>
      <c r="F25" s="4">
        <v>2.25</v>
      </c>
      <c r="G25" s="4">
        <v>3</v>
      </c>
      <c r="H25" s="4">
        <v>3</v>
      </c>
      <c r="I25" s="4">
        <v>3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</row>
    <row r="26" spans="1:14" x14ac:dyDescent="0.2">
      <c r="A26" s="3">
        <v>3.8</v>
      </c>
      <c r="B26" s="3" t="s">
        <v>25</v>
      </c>
      <c r="C26" s="3" t="s">
        <v>23</v>
      </c>
      <c r="D26" s="3" t="s">
        <v>16</v>
      </c>
      <c r="E26" s="4">
        <v>-6</v>
      </c>
      <c r="F26" s="4">
        <v>-12</v>
      </c>
      <c r="G26" s="4">
        <v>-2</v>
      </c>
      <c r="H26" s="4">
        <v>-16</v>
      </c>
      <c r="I26" s="4">
        <v>4</v>
      </c>
      <c r="J26" s="5">
        <v>3</v>
      </c>
      <c r="K26" s="5">
        <v>3</v>
      </c>
      <c r="L26" s="5">
        <v>1</v>
      </c>
      <c r="M26" s="5">
        <v>4</v>
      </c>
      <c r="N26" s="5">
        <v>0</v>
      </c>
    </row>
    <row r="27" spans="1:14" x14ac:dyDescent="0.2">
      <c r="A27" s="3">
        <v>4.0999999999999996</v>
      </c>
      <c r="B27" s="3" t="s">
        <v>26</v>
      </c>
      <c r="C27" s="3" t="s">
        <v>15</v>
      </c>
      <c r="D27" s="3" t="s">
        <v>16</v>
      </c>
      <c r="E27" s="4">
        <v>2</v>
      </c>
      <c r="F27" s="4">
        <v>2</v>
      </c>
      <c r="G27" s="4">
        <v>2</v>
      </c>
      <c r="H27" s="4">
        <v>2</v>
      </c>
      <c r="I27" s="4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</row>
    <row r="28" spans="1:14" x14ac:dyDescent="0.2">
      <c r="A28" s="3">
        <v>4.2</v>
      </c>
      <c r="B28" s="3" t="s">
        <v>26</v>
      </c>
      <c r="C28" s="3" t="s">
        <v>15</v>
      </c>
      <c r="D28" s="3" t="s">
        <v>19</v>
      </c>
      <c r="E28" s="4">
        <v>2</v>
      </c>
      <c r="F28" s="4">
        <v>1.5</v>
      </c>
      <c r="G28" s="4">
        <v>2</v>
      </c>
      <c r="H28" s="4">
        <v>2</v>
      </c>
      <c r="I28" s="4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</row>
    <row r="29" spans="1:14" x14ac:dyDescent="0.2">
      <c r="A29" s="3">
        <v>4.3</v>
      </c>
      <c r="B29" s="3" t="s">
        <v>26</v>
      </c>
      <c r="C29" s="3" t="s">
        <v>18</v>
      </c>
      <c r="D29" s="3" t="s">
        <v>21</v>
      </c>
      <c r="E29" s="4">
        <v>3</v>
      </c>
      <c r="F29" s="4">
        <v>2.25</v>
      </c>
      <c r="G29" s="4">
        <v>3</v>
      </c>
      <c r="H29" s="4">
        <v>3</v>
      </c>
      <c r="I29" s="4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</sheetPr>
  <dimension ref="A1:F20"/>
  <sheetViews>
    <sheetView zoomScaleNormal="100" workbookViewId="0">
      <selection activeCell="E21" sqref="E21"/>
    </sheetView>
  </sheetViews>
  <sheetFormatPr baseColWidth="10" defaultColWidth="8.6640625" defaultRowHeight="15" x14ac:dyDescent="0.2"/>
  <cols>
    <col min="1" max="1" width="28" customWidth="1"/>
    <col min="2" max="6" width="16" customWidth="1"/>
  </cols>
  <sheetData>
    <row r="1" spans="1:6" ht="18" x14ac:dyDescent="0.2">
      <c r="A1" s="22" t="s">
        <v>27</v>
      </c>
      <c r="B1" s="22"/>
      <c r="C1" s="22"/>
      <c r="D1" s="22"/>
      <c r="E1" s="22"/>
      <c r="F1" s="22"/>
    </row>
    <row r="3" spans="1:6" ht="16" x14ac:dyDescent="0.2">
      <c r="A3" s="23" t="s">
        <v>28</v>
      </c>
      <c r="B3" s="23"/>
      <c r="C3" s="23"/>
      <c r="D3" s="23"/>
      <c r="E3" s="23"/>
      <c r="F3" s="23"/>
    </row>
    <row r="4" spans="1:6" ht="16" x14ac:dyDescent="0.2">
      <c r="A4" s="1" t="s">
        <v>29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</row>
    <row r="5" spans="1:6" x14ac:dyDescent="0.2">
      <c r="A5" s="6" t="s">
        <v>15</v>
      </c>
      <c r="B5" s="7">
        <f>AVERAGEIFS(Данные!E$2:E$29,Данные!C$2:C$29,A5)</f>
        <v>1.6363636363636365</v>
      </c>
      <c r="C5" s="7">
        <f>AVERAGEIFS(Данные!F$2:F$29,Данные!C$2:C$29,A5)</f>
        <v>1.6363636363636365</v>
      </c>
      <c r="D5" s="7">
        <f>AVERAGEIFS(Данные!G$2:G$29,Данные!C$2:C$29,A5)</f>
        <v>2</v>
      </c>
      <c r="E5" s="7">
        <f>AVERAGEIFS(Данные!H$2:H$29,Данные!C$2:C$29,A5)</f>
        <v>1.5</v>
      </c>
      <c r="F5" s="7">
        <f>AVERAGEIFS(Данные!I$2:I$29,Данные!C$2:C$29,A5)</f>
        <v>1.1818181818181819</v>
      </c>
    </row>
    <row r="6" spans="1:6" x14ac:dyDescent="0.2">
      <c r="A6" s="6" t="s">
        <v>18</v>
      </c>
      <c r="B6" s="7">
        <f>AVERAGEIFS(Данные!E$2:E$29,Данные!C$2:C$29,A6)</f>
        <v>2.1346153846153846</v>
      </c>
      <c r="C6" s="7">
        <f>AVERAGEIFS(Данные!F$2:F$29,Данные!C$2:C$29,A6)</f>
        <v>1.7884615384615385</v>
      </c>
      <c r="D6" s="7">
        <f>AVERAGEIFS(Данные!G$2:G$29,Данные!C$2:C$29,A6)</f>
        <v>2.4230769230769229</v>
      </c>
      <c r="E6" s="7">
        <f>AVERAGEIFS(Данные!H$2:H$29,Данные!C$2:C$29,A6)</f>
        <v>0.75</v>
      </c>
      <c r="F6" s="7">
        <f>AVERAGEIFS(Данные!I$2:I$29,Данные!C$2:C$29,A6)</f>
        <v>0.57692307692307687</v>
      </c>
    </row>
    <row r="7" spans="1:6" x14ac:dyDescent="0.2">
      <c r="A7" s="6" t="s">
        <v>23</v>
      </c>
      <c r="B7" s="7">
        <f>AVERAGEIFS(Данные!E$2:E$29,Данные!C$2:C$29,A7)</f>
        <v>-1.5</v>
      </c>
      <c r="C7" s="7">
        <f>AVERAGEIFS(Данные!F$2:F$29,Данные!C$2:C$29,A7)</f>
        <v>-0.5</v>
      </c>
      <c r="D7" s="7">
        <f>AVERAGEIFS(Данные!G$2:G$29,Данные!C$2:C$29,A7)</f>
        <v>2.5</v>
      </c>
      <c r="E7" s="7">
        <f>AVERAGEIFS(Данные!H$2:H$29,Данные!C$2:C$29,A7)</f>
        <v>-4</v>
      </c>
      <c r="F7" s="7">
        <f>AVERAGEIFS(Данные!I$2:I$29,Данные!C$2:C$29,A7)</f>
        <v>1</v>
      </c>
    </row>
    <row r="8" spans="1:6" x14ac:dyDescent="0.2">
      <c r="A8" s="8" t="s">
        <v>30</v>
      </c>
      <c r="B8" s="9">
        <f>AVERAGE(Данные!E$2:E$29)</f>
        <v>1.4196428571428572</v>
      </c>
      <c r="C8" s="9">
        <f>AVERAGE(Данные!F$2:F$29)</f>
        <v>1.4017857142857142</v>
      </c>
      <c r="D8" s="9">
        <f>AVERAGE(Данные!G$2:G$29)</f>
        <v>2.2678571428571428</v>
      </c>
      <c r="E8" s="9">
        <f>AVERAGE(Данные!H$2:H$29)</f>
        <v>0.36607142857142855</v>
      </c>
      <c r="F8" s="9">
        <f>AVERAGE(Данные!I$2:I$29)</f>
        <v>0.875</v>
      </c>
    </row>
    <row r="10" spans="1:6" ht="16" x14ac:dyDescent="0.2">
      <c r="A10" s="23" t="s">
        <v>31</v>
      </c>
      <c r="B10" s="23"/>
    </row>
    <row r="11" spans="1:6" x14ac:dyDescent="0.2">
      <c r="A11" s="10" t="s">
        <v>29</v>
      </c>
      <c r="B11" s="10" t="s">
        <v>32</v>
      </c>
    </row>
    <row r="12" spans="1:6" x14ac:dyDescent="0.2">
      <c r="A12" s="3" t="s">
        <v>15</v>
      </c>
      <c r="B12" s="11">
        <f>COUNTIF(Данные!C$2:C$29,A12)</f>
        <v>11</v>
      </c>
    </row>
    <row r="13" spans="1:6" x14ac:dyDescent="0.2">
      <c r="A13" s="3" t="s">
        <v>18</v>
      </c>
      <c r="B13" s="11">
        <f>COUNTIF(Данные!C$2:C$29,A13)</f>
        <v>13</v>
      </c>
    </row>
    <row r="14" spans="1:6" x14ac:dyDescent="0.2">
      <c r="A14" s="3" t="s">
        <v>23</v>
      </c>
      <c r="B14" s="11">
        <f>COUNTIF(Данные!C$2:C$29,A14)</f>
        <v>4</v>
      </c>
    </row>
    <row r="16" spans="1:6" ht="16" x14ac:dyDescent="0.2">
      <c r="A16" s="23" t="s">
        <v>33</v>
      </c>
      <c r="B16" s="23"/>
      <c r="C16" s="23"/>
    </row>
    <row r="17" spans="1:3" x14ac:dyDescent="0.2">
      <c r="A17" s="12" t="s">
        <v>29</v>
      </c>
      <c r="B17" s="12" t="s">
        <v>34</v>
      </c>
      <c r="C17" s="12" t="s">
        <v>35</v>
      </c>
    </row>
    <row r="18" spans="1:3" x14ac:dyDescent="0.2">
      <c r="A18" s="3" t="s">
        <v>15</v>
      </c>
      <c r="B18" s="13" t="str">
        <f>INDEX($B4:F4,MATCH(MAX(B5:F5),B5:F5,0))</f>
        <v>Claude 3.5</v>
      </c>
      <c r="C18" s="14">
        <f>MAX(B5:F5)</f>
        <v>2</v>
      </c>
    </row>
    <row r="19" spans="1:3" x14ac:dyDescent="0.2">
      <c r="A19" s="3" t="s">
        <v>18</v>
      </c>
      <c r="B19" s="13" t="str">
        <f>INDEX($B4:F4,MATCH(MAX(B6:F6),B6:F6,0))</f>
        <v>Claude 3.5</v>
      </c>
      <c r="C19" s="14">
        <f>MAX(B6:F6)</f>
        <v>2.4230769230769229</v>
      </c>
    </row>
    <row r="20" spans="1:3" x14ac:dyDescent="0.2">
      <c r="A20" s="3" t="s">
        <v>23</v>
      </c>
      <c r="B20" s="13" t="str">
        <f>INDEX($B4:F4,MATCH(MAX(B7:F7),B7:F7,0))</f>
        <v>Claude 3.5</v>
      </c>
      <c r="C20" s="14">
        <f>MAX(B7:F7)</f>
        <v>2.5</v>
      </c>
    </row>
  </sheetData>
  <mergeCells count="4">
    <mergeCell ref="A1:F1"/>
    <mergeCell ref="A3:F3"/>
    <mergeCell ref="A10:B10"/>
    <mergeCell ref="A16:C1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48235"/>
  </sheetPr>
  <dimension ref="A1:F29"/>
  <sheetViews>
    <sheetView zoomScaleNormal="100" workbookViewId="0">
      <selection activeCell="E21" sqref="E21"/>
    </sheetView>
  </sheetViews>
  <sheetFormatPr baseColWidth="10" defaultColWidth="8.6640625" defaultRowHeight="15" x14ac:dyDescent="0.2"/>
  <cols>
    <col min="1" max="1" width="28" customWidth="1"/>
    <col min="2" max="6" width="16" customWidth="1"/>
  </cols>
  <sheetData>
    <row r="1" spans="1:6" ht="18" x14ac:dyDescent="0.2">
      <c r="A1" s="22" t="s">
        <v>36</v>
      </c>
      <c r="B1" s="22"/>
      <c r="C1" s="22"/>
      <c r="D1" s="22"/>
      <c r="E1" s="22"/>
      <c r="F1" s="22"/>
    </row>
    <row r="3" spans="1:6" ht="16" x14ac:dyDescent="0.2">
      <c r="A3" s="23" t="s">
        <v>28</v>
      </c>
      <c r="B3" s="23"/>
      <c r="C3" s="23"/>
      <c r="D3" s="23"/>
      <c r="E3" s="23"/>
      <c r="F3" s="23"/>
    </row>
    <row r="4" spans="1:6" ht="16" x14ac:dyDescent="0.2">
      <c r="A4" s="1" t="s">
        <v>29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</row>
    <row r="5" spans="1:6" x14ac:dyDescent="0.2">
      <c r="A5" s="6" t="s">
        <v>16</v>
      </c>
      <c r="B5" s="7">
        <f>AVERAGEIFS(Данные!E$2:E$29,Данные!D$2:D$29,A5)</f>
        <v>0.5</v>
      </c>
      <c r="C5" s="7">
        <f>AVERAGEIFS(Данные!F$2:F$29,Данные!D$2:D$29,A5)</f>
        <v>0.5</v>
      </c>
      <c r="D5" s="7">
        <f>AVERAGEIFS(Данные!G$2:G$29,Данные!D$2:D$29,A5)</f>
        <v>2</v>
      </c>
      <c r="E5" s="7">
        <f>AVERAGEIFS(Данные!H$2:H$29,Данные!D$2:D$29,A5)</f>
        <v>-0.8125</v>
      </c>
      <c r="F5" s="7">
        <f>AVERAGEIFS(Данные!I$2:I$29,Данные!D$2:D$29,A5)</f>
        <v>1.5</v>
      </c>
    </row>
    <row r="6" spans="1:6" x14ac:dyDescent="0.2">
      <c r="A6" s="6" t="s">
        <v>17</v>
      </c>
      <c r="B6" s="7">
        <f>AVERAGEIFS(Данные!E$2:E$29,Данные!D$2:D$29,A6)</f>
        <v>2.5</v>
      </c>
      <c r="C6" s="7">
        <f>AVERAGEIFS(Данные!F$2:F$29,Данные!D$2:D$29,A6)</f>
        <v>0.91666666666666663</v>
      </c>
      <c r="D6" s="7">
        <f>AVERAGEIFS(Данные!G$2:G$29,Данные!D$2:D$29,A6)</f>
        <v>2.6666666666666665</v>
      </c>
      <c r="E6" s="7">
        <f>AVERAGEIFS(Данные!H$2:H$29,Данные!D$2:D$29,A6)</f>
        <v>0.91666666666666663</v>
      </c>
      <c r="F6" s="7">
        <f>AVERAGEIFS(Данные!I$2:I$29,Данные!D$2:D$29,A6)</f>
        <v>0.91666666666666663</v>
      </c>
    </row>
    <row r="7" spans="1:6" x14ac:dyDescent="0.2">
      <c r="A7" s="6" t="s">
        <v>19</v>
      </c>
      <c r="B7" s="7">
        <f>AVERAGEIFS(Данные!E$2:E$29,Данные!D$2:D$29,A7)</f>
        <v>1.6666666666666667</v>
      </c>
      <c r="C7" s="7">
        <f>AVERAGEIFS(Данные!F$2:F$29,Данные!D$2:D$29,A7)</f>
        <v>1.4583333333333333</v>
      </c>
      <c r="D7" s="7">
        <f>AVERAGEIFS(Данные!G$2:G$29,Данные!D$2:D$29,A7)</f>
        <v>2.6666666666666665</v>
      </c>
      <c r="E7" s="7">
        <f>AVERAGEIFS(Данные!H$2:H$29,Данные!D$2:D$29,A7)</f>
        <v>0.75</v>
      </c>
      <c r="F7" s="7">
        <f>AVERAGEIFS(Данные!I$2:I$29,Данные!D$2:D$29,A7)</f>
        <v>0.91666666666666663</v>
      </c>
    </row>
    <row r="8" spans="1:6" x14ac:dyDescent="0.2">
      <c r="A8" s="6" t="s">
        <v>20</v>
      </c>
      <c r="B8" s="7">
        <f>AVERAGEIFS(Данные!E$2:E$29,Данные!D$2:D$29,A8)</f>
        <v>1.3</v>
      </c>
      <c r="C8" s="7">
        <f>AVERAGEIFS(Данные!F$2:F$29,Данные!D$2:D$29,A8)</f>
        <v>2.35</v>
      </c>
      <c r="D8" s="7">
        <f>AVERAGEIFS(Данные!G$2:G$29,Данные!D$2:D$29,A8)</f>
        <v>1.9</v>
      </c>
      <c r="E8" s="7">
        <f>AVERAGEIFS(Данные!H$2:H$29,Данные!D$2:D$29,A8)</f>
        <v>-0.3</v>
      </c>
      <c r="F8" s="7">
        <f>AVERAGEIFS(Данные!I$2:I$29,Данные!D$2:D$29,A8)</f>
        <v>0.65</v>
      </c>
    </row>
    <row r="9" spans="1:6" x14ac:dyDescent="0.2">
      <c r="A9" s="6" t="s">
        <v>21</v>
      </c>
      <c r="B9" s="7">
        <f>AVERAGEIFS(Данные!E$2:E$29,Данные!D$2:D$29,A9)</f>
        <v>1.8125</v>
      </c>
      <c r="C9" s="7">
        <f>AVERAGEIFS(Данные!F$2:F$29,Данные!D$2:D$29,A9)</f>
        <v>1.6875</v>
      </c>
      <c r="D9" s="7">
        <f>AVERAGEIFS(Данные!G$2:G$29,Данные!D$2:D$29,A9)</f>
        <v>2.75</v>
      </c>
      <c r="E9" s="7">
        <f>AVERAGEIFS(Данные!H$2:H$29,Данные!D$2:D$29,A9)</f>
        <v>2.375</v>
      </c>
      <c r="F9" s="7">
        <f>AVERAGEIFS(Данные!I$2:I$29,Данные!D$2:D$29,A9)</f>
        <v>-0.5</v>
      </c>
    </row>
    <row r="10" spans="1:6" x14ac:dyDescent="0.2">
      <c r="A10" s="6" t="s">
        <v>22</v>
      </c>
      <c r="B10" s="7">
        <f>AVERAGEIFS(Данные!E$2:E$29,Данные!D$2:D$29,A10)</f>
        <v>2.25</v>
      </c>
      <c r="C10" s="7">
        <f>AVERAGEIFS(Данные!F$2:F$29,Данные!D$2:D$29,A10)</f>
        <v>2.625</v>
      </c>
      <c r="D10" s="7">
        <f>AVERAGEIFS(Данные!G$2:G$29,Данные!D$2:D$29,A10)</f>
        <v>1.5</v>
      </c>
      <c r="E10" s="7">
        <f>AVERAGEIFS(Данные!H$2:H$29,Данные!D$2:D$29,A10)</f>
        <v>0.75</v>
      </c>
      <c r="F10" s="7">
        <f>AVERAGEIFS(Данные!I$2:I$29,Данные!D$2:D$29,A10)</f>
        <v>1.5</v>
      </c>
    </row>
    <row r="11" spans="1:6" x14ac:dyDescent="0.2">
      <c r="A11" s="8" t="s">
        <v>30</v>
      </c>
      <c r="B11" s="9">
        <f>AVERAGE(Данные!E$2:E$29)</f>
        <v>1.4196428571428572</v>
      </c>
      <c r="C11" s="9">
        <f>AVERAGE(Данные!F$2:F$29)</f>
        <v>1.4017857142857142</v>
      </c>
      <c r="D11" s="9">
        <f>AVERAGE(Данные!G$2:G$29)</f>
        <v>2.2678571428571428</v>
      </c>
      <c r="E11" s="9">
        <f>AVERAGE(Данные!H$2:H$29)</f>
        <v>0.36607142857142855</v>
      </c>
      <c r="F11" s="9">
        <f>AVERAGE(Данные!I$2:I$29)</f>
        <v>0.875</v>
      </c>
    </row>
    <row r="13" spans="1:6" ht="16" x14ac:dyDescent="0.2">
      <c r="A13" s="23" t="s">
        <v>31</v>
      </c>
      <c r="B13" s="23"/>
    </row>
    <row r="14" spans="1:6" x14ac:dyDescent="0.2">
      <c r="A14" s="10" t="s">
        <v>29</v>
      </c>
      <c r="B14" s="10" t="s">
        <v>32</v>
      </c>
    </row>
    <row r="15" spans="1:6" x14ac:dyDescent="0.2">
      <c r="A15" s="3" t="s">
        <v>16</v>
      </c>
      <c r="B15" s="11">
        <f>COUNTIF(Данные!D$2:D$29,A15)</f>
        <v>8</v>
      </c>
    </row>
    <row r="16" spans="1:6" x14ac:dyDescent="0.2">
      <c r="A16" s="3" t="s">
        <v>17</v>
      </c>
      <c r="B16" s="11">
        <f>COUNTIF(Данные!D$2:D$29,A16)</f>
        <v>3</v>
      </c>
    </row>
    <row r="17" spans="1:3" x14ac:dyDescent="0.2">
      <c r="A17" s="3" t="s">
        <v>19</v>
      </c>
      <c r="B17" s="11">
        <f>COUNTIF(Данные!D$2:D$29,A17)</f>
        <v>6</v>
      </c>
    </row>
    <row r="18" spans="1:3" x14ac:dyDescent="0.2">
      <c r="A18" s="3" t="s">
        <v>20</v>
      </c>
      <c r="B18" s="11">
        <f>COUNTIF(Данные!D$2:D$29,A18)</f>
        <v>5</v>
      </c>
    </row>
    <row r="19" spans="1:3" x14ac:dyDescent="0.2">
      <c r="A19" s="3" t="s">
        <v>21</v>
      </c>
      <c r="B19" s="11">
        <f>COUNTIF(Данные!D$2:D$29,A19)</f>
        <v>4</v>
      </c>
    </row>
    <row r="20" spans="1:3" x14ac:dyDescent="0.2">
      <c r="A20" s="3" t="s">
        <v>22</v>
      </c>
      <c r="B20" s="11">
        <f>COUNTIF(Данные!D$2:D$29,A20)</f>
        <v>2</v>
      </c>
    </row>
    <row r="22" spans="1:3" ht="16" x14ac:dyDescent="0.2">
      <c r="A22" s="23" t="s">
        <v>33</v>
      </c>
      <c r="B22" s="23"/>
      <c r="C22" s="23"/>
    </row>
    <row r="23" spans="1:3" x14ac:dyDescent="0.2">
      <c r="A23" s="12" t="s">
        <v>29</v>
      </c>
      <c r="B23" s="12" t="s">
        <v>34</v>
      </c>
      <c r="C23" s="12" t="s">
        <v>35</v>
      </c>
    </row>
    <row r="24" spans="1:3" x14ac:dyDescent="0.2">
      <c r="A24" s="3" t="s">
        <v>16</v>
      </c>
      <c r="B24" s="13" t="str">
        <f>INDEX($B4:F4,MATCH(MAX(B5:F5),B5:F5,0))</f>
        <v>Claude 3.5</v>
      </c>
      <c r="C24" s="14">
        <f t="shared" ref="C24:C29" si="0">MAX(B5:F5)</f>
        <v>2</v>
      </c>
    </row>
    <row r="25" spans="1:3" x14ac:dyDescent="0.2">
      <c r="A25" s="3" t="s">
        <v>17</v>
      </c>
      <c r="B25" s="13" t="str">
        <f>INDEX($B4:F4,MATCH(MAX(B6:F6),B6:F6,0))</f>
        <v>Claude 3.5</v>
      </c>
      <c r="C25" s="14">
        <f t="shared" si="0"/>
        <v>2.6666666666666665</v>
      </c>
    </row>
    <row r="26" spans="1:3" x14ac:dyDescent="0.2">
      <c r="A26" s="3" t="s">
        <v>19</v>
      </c>
      <c r="B26" s="13" t="str">
        <f>INDEX($B4:F4,MATCH(MAX(B7:F7),B7:F7,0))</f>
        <v>Claude 3.5</v>
      </c>
      <c r="C26" s="14">
        <f t="shared" si="0"/>
        <v>2.6666666666666665</v>
      </c>
    </row>
    <row r="27" spans="1:3" x14ac:dyDescent="0.2">
      <c r="A27" s="3" t="s">
        <v>20</v>
      </c>
      <c r="B27" s="13" t="str">
        <f>INDEX($B4:F4,MATCH(MAX(B8:F8),B8:F8,0))</f>
        <v>GPT-4o</v>
      </c>
      <c r="C27" s="14">
        <f t="shared" si="0"/>
        <v>2.35</v>
      </c>
    </row>
    <row r="28" spans="1:3" x14ac:dyDescent="0.2">
      <c r="A28" s="3" t="s">
        <v>21</v>
      </c>
      <c r="B28" s="13" t="str">
        <f>INDEX($B4:F4,MATCH(MAX(B9:F9),B9:F9,0))</f>
        <v>Claude 3.5</v>
      </c>
      <c r="C28" s="14">
        <f t="shared" si="0"/>
        <v>2.75</v>
      </c>
    </row>
    <row r="29" spans="1:3" x14ac:dyDescent="0.2">
      <c r="A29" s="3" t="s">
        <v>22</v>
      </c>
      <c r="B29" s="13" t="str">
        <f>INDEX($B4:F4,MATCH(MAX(B10:F10),B10:F10,0))</f>
        <v>GPT-4o</v>
      </c>
      <c r="C29" s="14">
        <f t="shared" si="0"/>
        <v>2.625</v>
      </c>
    </row>
  </sheetData>
  <mergeCells count="4">
    <mergeCell ref="A1:F1"/>
    <mergeCell ref="A3:F3"/>
    <mergeCell ref="A13:B13"/>
    <mergeCell ref="A22:C2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BF8F00"/>
  </sheetPr>
  <dimension ref="A1:F23"/>
  <sheetViews>
    <sheetView zoomScaleNormal="100" workbookViewId="0">
      <selection activeCell="E21" sqref="E21"/>
    </sheetView>
  </sheetViews>
  <sheetFormatPr baseColWidth="10" defaultColWidth="8.6640625" defaultRowHeight="15" x14ac:dyDescent="0.2"/>
  <cols>
    <col min="1" max="1" width="28" customWidth="1"/>
    <col min="2" max="6" width="16" customWidth="1"/>
  </cols>
  <sheetData>
    <row r="1" spans="1:6" ht="18" x14ac:dyDescent="0.2">
      <c r="A1" s="22" t="s">
        <v>37</v>
      </c>
      <c r="B1" s="22"/>
      <c r="C1" s="22"/>
      <c r="D1" s="22"/>
      <c r="E1" s="22"/>
      <c r="F1" s="22"/>
    </row>
    <row r="3" spans="1:6" ht="16" x14ac:dyDescent="0.2">
      <c r="A3" s="23" t="s">
        <v>28</v>
      </c>
      <c r="B3" s="23"/>
      <c r="C3" s="23"/>
      <c r="D3" s="23"/>
      <c r="E3" s="23"/>
      <c r="F3" s="23"/>
    </row>
    <row r="4" spans="1:6" ht="16" x14ac:dyDescent="0.2">
      <c r="A4" s="1" t="s">
        <v>29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</row>
    <row r="5" spans="1:6" x14ac:dyDescent="0.2">
      <c r="A5" s="6" t="s">
        <v>14</v>
      </c>
      <c r="B5" s="7">
        <f>AVERAGEIFS(Данные!E$2:E$29,Данные!B$2:B$29,A5)</f>
        <v>1.5</v>
      </c>
      <c r="C5" s="7">
        <f>AVERAGEIFS(Данные!F$2:F$29,Данные!B$2:B$29,A5)</f>
        <v>2.8055555555555554</v>
      </c>
      <c r="D5" s="7">
        <f>AVERAGEIFS(Данные!G$2:G$29,Данные!B$2:B$29,A5)</f>
        <v>2.5555555555555554</v>
      </c>
      <c r="E5" s="7">
        <f>AVERAGEIFS(Данные!H$2:H$29,Данные!B$2:B$29,A5)</f>
        <v>1.5555555555555556</v>
      </c>
      <c r="F5" s="7">
        <f>AVERAGEIFS(Данные!I$2:I$29,Данные!B$2:B$29,A5)</f>
        <v>1.4166666666666667</v>
      </c>
    </row>
    <row r="6" spans="1:6" x14ac:dyDescent="0.2">
      <c r="A6" s="6" t="s">
        <v>24</v>
      </c>
      <c r="B6" s="7">
        <f>AVERAGEIFS(Данные!E$2:E$29,Данные!B$2:B$29,A6)</f>
        <v>1.03125</v>
      </c>
      <c r="C6" s="7">
        <f>AVERAGEIFS(Данные!F$2:F$29,Данные!B$2:B$29,A6)</f>
        <v>1.09375</v>
      </c>
      <c r="D6" s="7">
        <f>AVERAGEIFS(Данные!G$2:G$29,Данные!B$2:B$29,A6)</f>
        <v>2.75</v>
      </c>
      <c r="E6" s="7">
        <f>AVERAGEIFS(Данные!H$2:H$29,Данные!B$2:B$29,A6)</f>
        <v>-0.65625</v>
      </c>
      <c r="F6" s="7">
        <f>AVERAGEIFS(Данные!I$2:I$29,Данные!B$2:B$29,A6)</f>
        <v>0.4375</v>
      </c>
    </row>
    <row r="7" spans="1:6" x14ac:dyDescent="0.2">
      <c r="A7" s="6" t="s">
        <v>25</v>
      </c>
      <c r="B7" s="7">
        <f>AVERAGEIFS(Данные!E$2:E$29,Данные!B$2:B$29,A7)</f>
        <v>1.375</v>
      </c>
      <c r="C7" s="7">
        <f>AVERAGEIFS(Данные!F$2:F$29,Данные!B$2:B$29,A7)</f>
        <v>-6.25E-2</v>
      </c>
      <c r="D7" s="7">
        <f>AVERAGEIFS(Данные!G$2:G$29,Данные!B$2:B$29,A7)</f>
        <v>1.4375</v>
      </c>
      <c r="E7" s="7">
        <f>AVERAGEIFS(Данные!H$2:H$29,Данные!B$2:B$29,A7)</f>
        <v>-0.6875</v>
      </c>
      <c r="F7" s="7">
        <f>AVERAGEIFS(Данные!I$2:I$29,Данные!B$2:B$29,A7)</f>
        <v>1.03125</v>
      </c>
    </row>
    <row r="8" spans="1:6" x14ac:dyDescent="0.2">
      <c r="A8" s="6" t="s">
        <v>26</v>
      </c>
      <c r="B8" s="7">
        <f>AVERAGEIFS(Данные!E$2:E$29,Данные!B$2:B$29,A8)</f>
        <v>2.3333333333333335</v>
      </c>
      <c r="C8" s="7">
        <f>AVERAGEIFS(Данные!F$2:F$29,Данные!B$2:B$29,A8)</f>
        <v>1.9166666666666667</v>
      </c>
      <c r="D8" s="7">
        <f>AVERAGEIFS(Данные!G$2:G$29,Данные!B$2:B$29,A8)</f>
        <v>2.3333333333333335</v>
      </c>
      <c r="E8" s="7">
        <f>AVERAGEIFS(Данные!H$2:H$29,Данные!B$2:B$29,A8)</f>
        <v>2.3333333333333335</v>
      </c>
      <c r="F8" s="7">
        <f>AVERAGEIFS(Данные!I$2:I$29,Данные!B$2:B$29,A8)</f>
        <v>0</v>
      </c>
    </row>
    <row r="9" spans="1:6" x14ac:dyDescent="0.2">
      <c r="A9" s="8" t="s">
        <v>30</v>
      </c>
      <c r="B9" s="9">
        <f>AVERAGE(Данные!E$2:E$29)</f>
        <v>1.4196428571428572</v>
      </c>
      <c r="C9" s="9">
        <f>AVERAGE(Данные!F$2:F$29)</f>
        <v>1.4017857142857142</v>
      </c>
      <c r="D9" s="9">
        <f>AVERAGE(Данные!G$2:G$29)</f>
        <v>2.2678571428571428</v>
      </c>
      <c r="E9" s="9">
        <f>AVERAGE(Данные!H$2:H$29)</f>
        <v>0.36607142857142855</v>
      </c>
      <c r="F9" s="9">
        <f>AVERAGE(Данные!I$2:I$29)</f>
        <v>0.875</v>
      </c>
    </row>
    <row r="11" spans="1:6" ht="16" x14ac:dyDescent="0.2">
      <c r="A11" s="23" t="s">
        <v>31</v>
      </c>
      <c r="B11" s="23"/>
    </row>
    <row r="12" spans="1:6" x14ac:dyDescent="0.2">
      <c r="A12" s="10" t="s">
        <v>29</v>
      </c>
      <c r="B12" s="10" t="s">
        <v>32</v>
      </c>
    </row>
    <row r="13" spans="1:6" x14ac:dyDescent="0.2">
      <c r="A13" s="3" t="s">
        <v>14</v>
      </c>
      <c r="B13" s="11">
        <f>COUNTIF(Данные!B$2:B$29,A13)</f>
        <v>9</v>
      </c>
    </row>
    <row r="14" spans="1:6" x14ac:dyDescent="0.2">
      <c r="A14" s="3" t="s">
        <v>24</v>
      </c>
      <c r="B14" s="11">
        <f>COUNTIF(Данные!B$2:B$29,A14)</f>
        <v>8</v>
      </c>
    </row>
    <row r="15" spans="1:6" x14ac:dyDescent="0.2">
      <c r="A15" s="3" t="s">
        <v>25</v>
      </c>
      <c r="B15" s="11">
        <f>COUNTIF(Данные!B$2:B$29,A15)</f>
        <v>8</v>
      </c>
    </row>
    <row r="16" spans="1:6" x14ac:dyDescent="0.2">
      <c r="A16" s="3" t="s">
        <v>26</v>
      </c>
      <c r="B16" s="11">
        <f>COUNTIF(Данные!B$2:B$29,A16)</f>
        <v>3</v>
      </c>
    </row>
    <row r="18" spans="1:3" ht="16" x14ac:dyDescent="0.2">
      <c r="A18" s="23" t="s">
        <v>33</v>
      </c>
      <c r="B18" s="23"/>
      <c r="C18" s="23"/>
    </row>
    <row r="19" spans="1:3" x14ac:dyDescent="0.2">
      <c r="A19" s="12" t="s">
        <v>29</v>
      </c>
      <c r="B19" s="12" t="s">
        <v>34</v>
      </c>
      <c r="C19" s="12" t="s">
        <v>35</v>
      </c>
    </row>
    <row r="20" spans="1:3" x14ac:dyDescent="0.2">
      <c r="A20" s="3" t="s">
        <v>14</v>
      </c>
      <c r="B20" s="13" t="str">
        <f>INDEX($B4:F4,MATCH(MAX(B5:F5),B5:F5,0))</f>
        <v>GPT-4o</v>
      </c>
      <c r="C20" s="14">
        <f>MAX(B5:F5)</f>
        <v>2.8055555555555554</v>
      </c>
    </row>
    <row r="21" spans="1:3" x14ac:dyDescent="0.2">
      <c r="A21" s="3" t="s">
        <v>24</v>
      </c>
      <c r="B21" s="13" t="str">
        <f>INDEX($B4:F4,MATCH(MAX(B6:F6),B6:F6,0))</f>
        <v>Claude 3.5</v>
      </c>
      <c r="C21" s="14">
        <f>MAX(B6:F6)</f>
        <v>2.75</v>
      </c>
    </row>
    <row r="22" spans="1:3" x14ac:dyDescent="0.2">
      <c r="A22" s="3" t="s">
        <v>25</v>
      </c>
      <c r="B22" s="13" t="str">
        <f>INDEX($B4:F4,MATCH(MAX(B7:F7),B7:F7,0))</f>
        <v>Claude 3.5</v>
      </c>
      <c r="C22" s="14">
        <f>MAX(B7:F7)</f>
        <v>1.4375</v>
      </c>
    </row>
    <row r="23" spans="1:3" x14ac:dyDescent="0.2">
      <c r="A23" s="3" t="s">
        <v>26</v>
      </c>
      <c r="B23" s="13" t="str">
        <f>INDEX($B4:F4,MATCH(MAX(B8:F8),B8:F8,0))</f>
        <v>NeuroLawyer</v>
      </c>
      <c r="C23" s="14">
        <f>MAX(B8:F8)</f>
        <v>2.3333333333333335</v>
      </c>
    </row>
  </sheetData>
  <mergeCells count="4">
    <mergeCell ref="A1:F1"/>
    <mergeCell ref="A3:F3"/>
    <mergeCell ref="A11:B11"/>
    <mergeCell ref="A18:C18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</sheetPr>
  <dimension ref="A1:F15"/>
  <sheetViews>
    <sheetView tabSelected="1" zoomScaleNormal="100" workbookViewId="0">
      <selection activeCell="F16" sqref="F16"/>
    </sheetView>
  </sheetViews>
  <sheetFormatPr baseColWidth="10" defaultColWidth="8.6640625" defaultRowHeight="15" x14ac:dyDescent="0.2"/>
  <cols>
    <col min="1" max="1" width="16" customWidth="1"/>
    <col min="2" max="6" width="18" customWidth="1"/>
  </cols>
  <sheetData>
    <row r="1" spans="1:6" ht="20" x14ac:dyDescent="0.2">
      <c r="A1" s="24" t="s">
        <v>38</v>
      </c>
      <c r="B1" s="24"/>
      <c r="C1" s="24"/>
      <c r="D1" s="24"/>
      <c r="E1" s="24"/>
      <c r="F1" s="24"/>
    </row>
    <row r="3" spans="1:6" ht="16" x14ac:dyDescent="0.2">
      <c r="A3" s="1" t="s">
        <v>39</v>
      </c>
      <c r="B3" s="1" t="s">
        <v>40</v>
      </c>
      <c r="C3" s="1" t="s">
        <v>41</v>
      </c>
      <c r="D3" s="1" t="s">
        <v>42</v>
      </c>
      <c r="E3" s="1" t="s">
        <v>43</v>
      </c>
      <c r="F3" s="1" t="s">
        <v>44</v>
      </c>
    </row>
    <row r="4" spans="1:6" x14ac:dyDescent="0.2">
      <c r="A4" s="6" t="s">
        <v>4</v>
      </c>
      <c r="B4" s="15">
        <f>AVERAGE(Данные!E$2:E$29)</f>
        <v>1.4196428571428572</v>
      </c>
      <c r="C4" s="15">
        <f>MAX(Данные!E$2:E$29)</f>
        <v>3</v>
      </c>
      <c r="D4" s="15">
        <f>MIN(Данные!E$2:E$29)</f>
        <v>-6</v>
      </c>
      <c r="E4" s="16">
        <f>SUMPRODUCT((Данные!E$2:E$29&gt;=Данные!E$2:E$29)*(Данные!E$2:E$29&gt;=Данные!F$2:F$29)*(Данные!E$2:E$29&gt;=Данные!G$2:G$29)*(Данные!E$2:E$29&gt;=Данные!H$2:H$29)*(Данные!E$2:E$29&gt;=Данные!I$2:I$29))</f>
        <v>11</v>
      </c>
      <c r="F4" s="27">
        <f>SUM(Данные!J$2:J$29)</f>
        <v>4</v>
      </c>
    </row>
    <row r="5" spans="1:6" x14ac:dyDescent="0.2">
      <c r="A5" s="6" t="s">
        <v>5</v>
      </c>
      <c r="B5" s="15">
        <f>AVERAGE(Данные!F$2:F$29)</f>
        <v>1.4017857142857142</v>
      </c>
      <c r="C5" s="15">
        <f>MAX(Данные!F$2:F$29)</f>
        <v>4</v>
      </c>
      <c r="D5" s="15">
        <f>MIN(Данные!F$2:F$29)</f>
        <v>-12</v>
      </c>
      <c r="E5" s="16">
        <f>SUMPRODUCT((Данные!F$2:F$29&gt;=Данные!E$2:E$29)*(Данные!F$2:F$29&gt;=Данные!F$2:F$29)*(Данные!F$2:F$29&gt;=Данные!G$2:G$29)*(Данные!F$2:F$29&gt;=Данные!H$2:H$29)*(Данные!F$2:F$29&gt;=Данные!I$2:I$29))</f>
        <v>17</v>
      </c>
      <c r="F5" s="16">
        <f>SUM(Данные!K$2:K$29)</f>
        <v>6</v>
      </c>
    </row>
    <row r="6" spans="1:6" x14ac:dyDescent="0.2">
      <c r="A6" s="6" t="s">
        <v>6</v>
      </c>
      <c r="B6" s="15">
        <f>AVERAGE(Данные!G$2:G$29)</f>
        <v>2.2678571428571428</v>
      </c>
      <c r="C6" s="15">
        <f>MAX(Данные!G$2:G$29)</f>
        <v>4</v>
      </c>
      <c r="D6" s="15">
        <f>MIN(Данные!G$2:G$29)</f>
        <v>-2</v>
      </c>
      <c r="E6" s="16">
        <f>SUMPRODUCT((Данные!G$2:G$29&gt;=Данные!E$2:E$29)*(Данные!G$2:G$29&gt;=Данные!F$2:F$29)*(Данные!G$2:G$29&gt;=Данные!G$2:G$29)*(Данные!G$2:G$29&gt;=Данные!H$2:H$29)*(Данные!G$2:G$29&gt;=Данные!I$2:I$29))</f>
        <v>25</v>
      </c>
      <c r="F6" s="26">
        <f>SUM(Данные!L$2:L$29)</f>
        <v>2</v>
      </c>
    </row>
    <row r="7" spans="1:6" x14ac:dyDescent="0.2">
      <c r="A7" s="6" t="s">
        <v>7</v>
      </c>
      <c r="B7" s="15">
        <f>AVERAGE(Данные!H$2:H$29)</f>
        <v>0.36607142857142855</v>
      </c>
      <c r="C7" s="15">
        <f>MAX(Данные!H$2:H$29)</f>
        <v>4</v>
      </c>
      <c r="D7" s="15">
        <f>MIN(Данные!H$2:H$29)</f>
        <v>-16</v>
      </c>
      <c r="E7" s="16">
        <f>SUMPRODUCT((Данные!H$2:H$29&gt;=Данные!E$2:E$29)*(Данные!H$2:H$29&gt;=Данные!F$2:F$29)*(Данные!H$2:H$29&gt;=Данные!G$2:G$29)*(Данные!H$2:H$29&gt;=Данные!H$2:H$29)*(Данные!H$2:H$29&gt;=Данные!I$2:I$29))</f>
        <v>12</v>
      </c>
      <c r="F7" s="25">
        <f>SUM(Данные!M$2:M$29)</f>
        <v>10</v>
      </c>
    </row>
    <row r="8" spans="1:6" x14ac:dyDescent="0.2">
      <c r="A8" s="6" t="s">
        <v>8</v>
      </c>
      <c r="B8" s="15">
        <f>AVERAGE(Данные!I$2:I$29)</f>
        <v>0.875</v>
      </c>
      <c r="C8" s="15">
        <f>MAX(Данные!I$2:I$29)</f>
        <v>4</v>
      </c>
      <c r="D8" s="15">
        <f>MIN(Данные!I$2:I$29)</f>
        <v>-3</v>
      </c>
      <c r="E8" s="16">
        <f>SUMPRODUCT((Данные!I$2:I$29&gt;=Данные!E$2:E$29)*(Данные!I$2:I$29&gt;=Данные!F$2:F$29)*(Данные!I$2:I$29&gt;=Данные!G$2:G$29)*(Данные!I$2:I$29&gt;=Данные!H$2:H$29)*(Данные!I$2:I$29&gt;=Данные!I$2:I$29))</f>
        <v>11</v>
      </c>
      <c r="F8" s="16">
        <f>SUM(Данные!N$2:N$29)</f>
        <v>5</v>
      </c>
    </row>
    <row r="10" spans="1:6" ht="16" x14ac:dyDescent="0.2">
      <c r="A10" s="23" t="s">
        <v>45</v>
      </c>
      <c r="B10" s="23"/>
      <c r="C10" s="23"/>
      <c r="D10" s="23"/>
      <c r="E10" s="23"/>
      <c r="F10" s="23"/>
    </row>
    <row r="11" spans="1:6" x14ac:dyDescent="0.2">
      <c r="A11" s="6" t="s">
        <v>46</v>
      </c>
      <c r="B11" s="17" t="str">
        <f>INDEX($A$4:$A$8,MATCH(LARGE($B$4:$B$8,1),$B$4:$B$8,0))</f>
        <v>Claude 3.5</v>
      </c>
      <c r="C11" s="18">
        <f>LARGE($B$4:$B$8,1)</f>
        <v>2.2678571428571428</v>
      </c>
    </row>
    <row r="12" spans="1:6" x14ac:dyDescent="0.2">
      <c r="A12" s="6" t="s">
        <v>47</v>
      </c>
      <c r="B12" s="19" t="str">
        <f>INDEX($A$4:$A$8,MATCH(LARGE($B$4:$B$8,2),$B$4:$B$8,0))</f>
        <v>NeuroLawyer</v>
      </c>
      <c r="C12" s="18">
        <f>LARGE($B$4:$B$8,2)</f>
        <v>1.4196428571428572</v>
      </c>
    </row>
    <row r="13" spans="1:6" x14ac:dyDescent="0.2">
      <c r="A13" s="6" t="s">
        <v>48</v>
      </c>
      <c r="B13" s="20" t="str">
        <f>INDEX($A$4:$A$8,MATCH(LARGE($B$4:$B$8,3),$B$4:$B$8,0))</f>
        <v>GPT-4o</v>
      </c>
      <c r="C13" s="18">
        <f>LARGE($B$4:$B$8,3)</f>
        <v>1.4017857142857142</v>
      </c>
    </row>
    <row r="14" spans="1:6" x14ac:dyDescent="0.2">
      <c r="A14" s="6" t="s">
        <v>49</v>
      </c>
      <c r="B14" s="21" t="str">
        <f>INDEX($A$4:$A$8,MATCH(LARGE($B$4:$B$8,4),$B$4:$B$8,0))</f>
        <v>ConsLegal</v>
      </c>
      <c r="C14" s="18">
        <f>LARGE($B$4:$B$8,4)</f>
        <v>0.875</v>
      </c>
    </row>
    <row r="15" spans="1:6" x14ac:dyDescent="0.2">
      <c r="A15" s="6" t="s">
        <v>50</v>
      </c>
      <c r="B15" s="21" t="str">
        <f>INDEX($A$4:$A$8,MATCH(LARGE($B$4:$B$8,5),$B$4:$B$8,0))</f>
        <v>GigaChat</v>
      </c>
      <c r="C15" s="18">
        <f>LARGE($B$4:$B$8,5)</f>
        <v>0.36607142857142855</v>
      </c>
    </row>
  </sheetData>
  <mergeCells count="2">
    <mergeCell ref="A1:F1"/>
    <mergeCell ref="A10:F1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Данные</vt:lpstr>
      <vt:lpstr>По сложности</vt:lpstr>
      <vt:lpstr>По сфере права</vt:lpstr>
      <vt:lpstr>По сценарию</vt:lpstr>
      <vt:lpstr>Сводка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Alexey Rusinov</cp:lastModifiedBy>
  <cp:revision>0</cp:revision>
  <dcterms:created xsi:type="dcterms:W3CDTF">2026-02-14T16:33:24Z</dcterms:created>
  <dcterms:modified xsi:type="dcterms:W3CDTF">2026-02-14T16:49:07Z</dcterms:modified>
  <dc:language>en-US</dc:language>
</cp:coreProperties>
</file>